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データ一覧" sheetId="1" state="visible" r:id="rId3"/>
    <sheet name="規制情報の属性" sheetId="2" state="visible" r:id="rId4"/>
    <sheet name="規制情報の型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<sst xmlns="http://schemas.openxmlformats.org/spreadsheetml/2006/main" count="460" uniqueCount="111">
  <si>
    <t xml:space="preserve">ファイル名</t>
  </si>
  <si>
    <t xml:space="preserve">情報の日時および時刻</t>
  </si>
  <si>
    <t xml:space="preserve">道路規制情報</t>
  </si>
  <si>
    <t xml:space="preserve">ETC2.0速度情報</t>
  </si>
  <si>
    <t xml:space="preserve">通行実績情報</t>
  </si>
  <si>
    <t xml:space="preserve">備考</t>
  </si>
  <si>
    <t xml:space="preserve">260729data.zip</t>
  </si>
  <si>
    <t xml:space="preserve">〇</t>
  </si>
  <si>
    <t xml:space="preserve">ETC2.0速度情報が2分割、時刻の出典: notice.txt</t>
  </si>
  <si>
    <t xml:space="preserve">2607291200data.zip</t>
  </si>
  <si>
    <t xml:space="preserve">2607300800data.zip</t>
  </si>
  <si>
    <t xml:space="preserve">通行実績情報が5分割</t>
  </si>
  <si>
    <t xml:space="preserve">2607301200data.zip</t>
  </si>
  <si>
    <t xml:space="preserve">2607301600data.zip</t>
  </si>
  <si>
    <t xml:space="preserve">2607310800data.zip</t>
  </si>
  <si>
    <t xml:space="preserve">2607311600data.zip</t>
  </si>
  <si>
    <t xml:space="preserve">2608011800data.zip</t>
  </si>
  <si>
    <t xml:space="preserve">2608021800data.zip</t>
  </si>
  <si>
    <t xml:space="preserve">2608031200data.zip</t>
  </si>
  <si>
    <t xml:space="preserve">2608031600data.zip</t>
  </si>
  <si>
    <t xml:space="preserve">2608041300data.zip</t>
  </si>
  <si>
    <t xml:space="preserve">2608041600data.zip</t>
  </si>
  <si>
    <t xml:space="preserve">2608071600data.zip</t>
  </si>
  <si>
    <t xml:space="preserve">規制情報のみ10:00時点</t>
  </si>
  <si>
    <t xml:space="preserve">〇の数</t>
  </si>
  <si>
    <t xml:space="preserve">全14ファイル</t>
  </si>
  <si>
    <t xml:space="preserve">出典: 国土交通省「通れる道マップ」（https://www.mlit.go.jp/road/saigai/r8kumamoto/index.html）からダウンロードしたZIP。</t>
  </si>
  <si>
    <t xml:space="preserve">情報の日時および時刻: ファイル名の YYMMDDhhmm から読み取り（例 2608071600 → 2026/08/07 16:00）。260729data.zip だけ時刻が無く、配布元の notice.txt の記載（as of 2026/07/29 8:00）に従った。</t>
  </si>
  <si>
    <t xml:space="preserve">〇の判定: ZIP内のGeoJSONのファイル名で判定（dourokisei＝道路規制情報、ETC2.0_speed_data＝ETC2.0速度情報、tukoujisseki＝通行実績情報）。連番で分割されているものも1件として〇にし、分割数は備考に書いた。</t>
  </si>
  <si>
    <t xml:space="preserve">作成: scripts/build_mlit_map_index.py</t>
  </si>
  <si>
    <t xml:space="preserve">属性</t>
  </si>
  <si>
    <t xml:space="preserve">区分</t>
  </si>
  <si>
    <t xml:space="preserve">出現時点数</t>
  </si>
  <si>
    <t xml:space="preserve">07/29 12:00</t>
  </si>
  <si>
    <t xml:space="preserve">07/30 08:00</t>
  </si>
  <si>
    <t xml:space="preserve">07/30 12:00</t>
  </si>
  <si>
    <t xml:space="preserve">07/30 16:00</t>
  </si>
  <si>
    <t xml:space="preserve">07/31 08:00</t>
  </si>
  <si>
    <t xml:space="preserve">07/31 16:00</t>
  </si>
  <si>
    <t xml:space="preserve">08/01 18:00</t>
  </si>
  <si>
    <t xml:space="preserve">08/02 18:00</t>
  </si>
  <si>
    <t xml:space="preserve">08/03 12:00</t>
  </si>
  <si>
    <t xml:space="preserve">08/03 16:00</t>
  </si>
  <si>
    <t xml:space="preserve">08/04 13:00</t>
  </si>
  <si>
    <t xml:space="preserve">08/04 16:00</t>
  </si>
  <si>
    <t xml:space="preserve">08/07 16:00</t>
  </si>
  <si>
    <t xml:space="preserve">地物数（合計）</t>
  </si>
  <si>
    <t xml:space="preserve">name</t>
  </si>
  <si>
    <t xml:space="preserve">始点</t>
  </si>
  <si>
    <t xml:space="preserve">始点住所</t>
  </si>
  <si>
    <t xml:space="preserve">始点緯度経度</t>
  </si>
  <si>
    <t xml:space="preserve">市町村名</t>
  </si>
  <si>
    <t xml:space="preserve">延長_Km</t>
  </si>
  <si>
    <t xml:space="preserve">県名</t>
  </si>
  <si>
    <t xml:space="preserve">終点</t>
  </si>
  <si>
    <t xml:space="preserve">終点住所</t>
  </si>
  <si>
    <t xml:space="preserve">終点緯度経度</t>
  </si>
  <si>
    <t xml:space="preserve">規制内容</t>
  </si>
  <si>
    <t xml:space="preserve">規制延長_Km</t>
  </si>
  <si>
    <t xml:space="preserve">規制方向</t>
  </si>
  <si>
    <t xml:space="preserve">規制理由</t>
  </si>
  <si>
    <t xml:space="preserve">全</t>
  </si>
  <si>
    <t xml:space="preserve">規制種別</t>
  </si>
  <si>
    <t xml:space="preserve">規制開始_内容</t>
  </si>
  <si>
    <t xml:space="preserve">規制開始_日時</t>
  </si>
  <si>
    <t xml:space="preserve">路線名</t>
  </si>
  <si>
    <t xml:space="preserve">道路種別</t>
  </si>
  <si>
    <t xml:space="preserve">人身_有無</t>
  </si>
  <si>
    <t xml:space="preserve">－</t>
  </si>
  <si>
    <t xml:space="preserve">停電_有無</t>
  </si>
  <si>
    <t xml:space="preserve">地整番号</t>
  </si>
  <si>
    <t xml:space="preserve">孤立集落_有無</t>
  </si>
  <si>
    <t xml:space="preserve">整備局名</t>
  </si>
  <si>
    <t xml:space="preserve">物損_有無</t>
  </si>
  <si>
    <t xml:space="preserve">県番号</t>
  </si>
  <si>
    <t xml:space="preserve">規制変更_内容</t>
  </si>
  <si>
    <t xml:space="preserve">規制変更_日時</t>
  </si>
  <si>
    <t xml:space="preserve">迂回路_有無</t>
  </si>
  <si>
    <t xml:space="preserve">始点経度緯度</t>
  </si>
  <si>
    <t xml:space="preserve">_color</t>
  </si>
  <si>
    <t xml:space="preserve">表示スタイル</t>
  </si>
  <si>
    <t xml:space="preserve">_dashArray</t>
  </si>
  <si>
    <t xml:space="preserve">_opacity</t>
  </si>
  <si>
    <t xml:space="preserve">_weight</t>
  </si>
  <si>
    <t xml:space="preserve">_iconAnchor</t>
  </si>
  <si>
    <t xml:space="preserve">_iconSize</t>
  </si>
  <si>
    <t xml:space="preserve">_iconUrl</t>
  </si>
  <si>
    <t xml:space="preserve">_markerType</t>
  </si>
  <si>
    <t xml:space="preserve">セルの意味: 「全」＝その時点の全地物が持つ／数字＝持っている地物の数（赤字。持たない地物が混ざる）／「－」＝その時点には無い。</t>
  </si>
  <si>
    <t xml:space="preserve">アンダースコアで始まる属性は地図の描画用（色・太さなど）で、規制の中身ではない。</t>
  </si>
  <si>
    <t xml:space="preserve">属性が地物ごとに違うのは、レコードの型が混ざっているため。内訳は「規制情報の型」シート。</t>
  </si>
  <si>
    <t xml:space="preserve">レコードの型</t>
  </si>
  <si>
    <t xml:space="preserve">説明</t>
  </si>
  <si>
    <t xml:space="preserve">拡張</t>
  </si>
  <si>
    <t xml:space="preserve">県フォーマットに、整備局名・規制変更_日時・迂回路/孤立集落/人身/物損/停電_有無などを足したもの</t>
  </si>
  <si>
    <t xml:space="preserve">方向あり</t>
  </si>
  <si>
    <t xml:space="preserve">規制方向と規制延長_Kmを持つ。高速道路・直轄国道のレコード</t>
  </si>
  <si>
    <t xml:space="preserve">区間名のみ</t>
  </si>
  <si>
    <t xml:space="preserve">始点・終点がIC名で、座標も日時も無い。高速道路のレコード</t>
  </si>
  <si>
    <t xml:space="preserve">属性なし</t>
  </si>
  <si>
    <t xml:space="preserve">整理IDだけで属性が無い線（紫・半透明）。何の規制かはデータから分からない</t>
  </si>
  <si>
    <t xml:space="preserve">県フォーマット</t>
  </si>
  <si>
    <t xml:space="preserve">住所・緯度経度・規制開始_日時・延長_Kmを持つ。都道府県道/補助国道/市区町村道</t>
  </si>
  <si>
    <t xml:space="preserve">合計</t>
  </si>
  <si>
    <t xml:space="preserve">ジオメトリ</t>
  </si>
  <si>
    <t xml:space="preserve">線</t>
  </si>
  <si>
    <t xml:space="preserve">線42＋点1</t>
  </si>
  <si>
    <t xml:space="preserve">型は属性の組み合わせで判定している（上から順に当てはめる）。道路種別の値ではないので、実際の管理者と1対1ではない。</t>
  </si>
  <si>
    <t xml:space="preserve">「区間名のみ」は座標も規制開始日時も持たないため、線形と期間はこのデータからは作れない。</t>
  </si>
  <si>
    <t xml:space="preserve">「属性なし」は整理IDだけの紫の線で、07/31〜08/01の3時点にだけ現れる。</t>
  </si>
  <si>
    <t xml:space="preserve">「拡張」は08/04以降にだけ現れ、迂回路・孤立集落・人身・物損・停電の有無を持つ。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</si>
</sst>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\ hh:mm"/>
  </numFmts>
  <fonts count="12">
    <font>
      <sz val="11"/>
      <color theme="1"/>
      <name val="Noto Sans JP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Meiryo"/>
      <family val="0"/>
      <charset val="1"/>
    </font>
    <font>
      <sz val="10"/>
      <name val="Meiryo"/>
      <family val="0"/>
      <charset val="1"/>
    </font>
    <font>
      <sz val="9"/>
      <color rgb="FF595959"/>
      <name val="Meiryo"/>
      <family val="0"/>
      <charset val="1"/>
    </font>
    <font>
      <b val="true"/>
      <sz val="9"/>
      <name val="Meiryo"/>
      <family val="0"/>
      <charset val="1"/>
    </font>
    <font>
      <sz val="9"/>
      <name val="Meiryo"/>
      <family val="0"/>
      <charset val="1"/>
    </font>
    <font>
      <sz val="9"/>
      <color rgb="FFC00000"/>
      <name val="Meiryo"/>
      <family val="0"/>
      <charset val="1"/>
    </font>
    <font>
      <sz val="9"/>
      <color rgb="FFBFBFBF"/>
      <name val="Meiryo"/>
      <family val="0"/>
      <charset val="1"/>
    </font>
    <font>
      <sz val="9"/>
      <color rgb="FF808080"/>
      <name val="Meiry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1" min="1" style="0" width="20.01"/>
    <col collapsed="false" customWidth="true" hidden="false" outlineLevel="0" max="2" min="2" style="0" width="18.2"/>
    <col collapsed="false" customWidth="true" hidden="false" outlineLevel="0" max="5" min="3" style="0" width="13.65"/>
    <col collapsed="false" customWidth="true" hidden="false" outlineLevel="0" max="6" min="6" style="0" width="27.3"/>
  </cols>
  <sheetData>
    <row r="1" customFormat="false" ht="16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6.25" hidden="false" customHeight="false" outlineLevel="0" collapsed="false">
      <c r="A2" s="2" t="s">
        <v>6</v>
      </c>
      <c r="B2" s="3" t="n">
        <v>46232.3333333333</v>
      </c>
      <c r="C2" s="4"/>
      <c r="D2" s="4" t="s">
        <v>7</v>
      </c>
      <c r="E2" s="4"/>
      <c r="F2" s="2" t="s">
        <v>8</v>
      </c>
    </row>
    <row r="3" customFormat="false" ht="15" hidden="false" customHeight="false" outlineLevel="0" collapsed="false">
      <c r="A3" s="2" t="s">
        <v>9</v>
      </c>
      <c r="B3" s="3" t="n">
        <v>46232.5</v>
      </c>
      <c r="C3" s="4" t="s">
        <v>7</v>
      </c>
      <c r="D3" s="4" t="s">
        <v>7</v>
      </c>
      <c r="E3" s="4"/>
      <c r="F3" s="2"/>
    </row>
    <row r="4" customFormat="false" ht="16.25" hidden="false" customHeight="false" outlineLevel="0" collapsed="false">
      <c r="A4" s="2" t="s">
        <v>10</v>
      </c>
      <c r="B4" s="3" t="n">
        <v>46233.3333333333</v>
      </c>
      <c r="C4" s="4" t="s">
        <v>7</v>
      </c>
      <c r="D4" s="4" t="s">
        <v>7</v>
      </c>
      <c r="E4" s="4" t="s">
        <v>7</v>
      </c>
      <c r="F4" s="2" t="s">
        <v>11</v>
      </c>
    </row>
    <row r="5" customFormat="false" ht="15" hidden="false" customHeight="false" outlineLevel="0" collapsed="false">
      <c r="A5" s="2" t="s">
        <v>12</v>
      </c>
      <c r="B5" s="3" t="n">
        <v>46233.5</v>
      </c>
      <c r="C5" s="4" t="s">
        <v>7</v>
      </c>
      <c r="D5" s="4" t="s">
        <v>7</v>
      </c>
      <c r="E5" s="4" t="s">
        <v>7</v>
      </c>
      <c r="F5" s="2"/>
    </row>
    <row r="6" customFormat="false" ht="15" hidden="false" customHeight="false" outlineLevel="0" collapsed="false">
      <c r="A6" s="2" t="s">
        <v>13</v>
      </c>
      <c r="B6" s="3" t="n">
        <v>46233.6666666667</v>
      </c>
      <c r="C6" s="4" t="s">
        <v>7</v>
      </c>
      <c r="D6" s="4" t="s">
        <v>7</v>
      </c>
      <c r="E6" s="4" t="s">
        <v>7</v>
      </c>
      <c r="F6" s="2"/>
    </row>
    <row r="7" customFormat="false" ht="15" hidden="false" customHeight="false" outlineLevel="0" collapsed="false">
      <c r="A7" s="2" t="s">
        <v>14</v>
      </c>
      <c r="B7" s="3" t="n">
        <v>46234.3333333333</v>
      </c>
      <c r="C7" s="4" t="s">
        <v>7</v>
      </c>
      <c r="D7" s="4" t="s">
        <v>7</v>
      </c>
      <c r="E7" s="4" t="s">
        <v>7</v>
      </c>
      <c r="F7" s="2"/>
    </row>
    <row r="8" customFormat="false" ht="15" hidden="false" customHeight="false" outlineLevel="0" collapsed="false">
      <c r="A8" s="2" t="s">
        <v>15</v>
      </c>
      <c r="B8" s="3" t="n">
        <v>46234.6666666667</v>
      </c>
      <c r="C8" s="4" t="s">
        <v>7</v>
      </c>
      <c r="D8" s="4" t="s">
        <v>7</v>
      </c>
      <c r="E8" s="4" t="s">
        <v>7</v>
      </c>
      <c r="F8" s="2"/>
    </row>
    <row r="9" customFormat="false" ht="15" hidden="false" customHeight="false" outlineLevel="0" collapsed="false">
      <c r="A9" s="2" t="s">
        <v>16</v>
      </c>
      <c r="B9" s="3" t="n">
        <v>46235.75</v>
      </c>
      <c r="C9" s="4" t="s">
        <v>7</v>
      </c>
      <c r="D9" s="4" t="s">
        <v>7</v>
      </c>
      <c r="E9" s="4" t="s">
        <v>7</v>
      </c>
      <c r="F9" s="2"/>
    </row>
    <row r="10" customFormat="false" ht="15" hidden="false" customHeight="false" outlineLevel="0" collapsed="false">
      <c r="A10" s="2" t="s">
        <v>17</v>
      </c>
      <c r="B10" s="3" t="n">
        <v>46236.75</v>
      </c>
      <c r="C10" s="4" t="s">
        <v>7</v>
      </c>
      <c r="D10" s="4" t="s">
        <v>7</v>
      </c>
      <c r="E10" s="4" t="s">
        <v>7</v>
      </c>
      <c r="F10" s="2"/>
    </row>
    <row r="11" customFormat="false" ht="15" hidden="false" customHeight="false" outlineLevel="0" collapsed="false">
      <c r="A11" s="2" t="s">
        <v>18</v>
      </c>
      <c r="B11" s="3" t="n">
        <v>46237.5</v>
      </c>
      <c r="C11" s="4" t="s">
        <v>7</v>
      </c>
      <c r="D11" s="4" t="s">
        <v>7</v>
      </c>
      <c r="E11" s="4" t="s">
        <v>7</v>
      </c>
      <c r="F11" s="2"/>
    </row>
    <row r="12" customFormat="false" ht="15" hidden="false" customHeight="false" outlineLevel="0" collapsed="false">
      <c r="A12" s="2" t="s">
        <v>19</v>
      </c>
      <c r="B12" s="3" t="n">
        <v>46237.6666666667</v>
      </c>
      <c r="C12" s="4" t="s">
        <v>7</v>
      </c>
      <c r="D12" s="4" t="s">
        <v>7</v>
      </c>
      <c r="E12" s="4" t="s">
        <v>7</v>
      </c>
      <c r="F12" s="2"/>
    </row>
    <row r="13" customFormat="false" ht="15" hidden="false" customHeight="false" outlineLevel="0" collapsed="false">
      <c r="A13" s="2" t="s">
        <v>20</v>
      </c>
      <c r="B13" s="3" t="n">
        <v>46238.5416666667</v>
      </c>
      <c r="C13" s="4" t="s">
        <v>7</v>
      </c>
      <c r="D13" s="4" t="s">
        <v>7</v>
      </c>
      <c r="E13" s="4" t="s">
        <v>7</v>
      </c>
      <c r="F13" s="2"/>
    </row>
    <row r="14" customFormat="false" ht="15" hidden="false" customHeight="false" outlineLevel="0" collapsed="false">
      <c r="A14" s="2" t="s">
        <v>21</v>
      </c>
      <c r="B14" s="3" t="n">
        <v>46238.6666666667</v>
      </c>
      <c r="C14" s="4" t="s">
        <v>7</v>
      </c>
      <c r="D14" s="4" t="s">
        <v>7</v>
      </c>
      <c r="E14" s="4" t="s">
        <v>7</v>
      </c>
      <c r="F14" s="2"/>
    </row>
    <row r="15" customFormat="false" ht="16.25" hidden="false" customHeight="false" outlineLevel="0" collapsed="false">
      <c r="A15" s="2" t="s">
        <v>22</v>
      </c>
      <c r="B15" s="3" t="n">
        <v>46241.6666666667</v>
      </c>
      <c r="C15" s="4" t="s">
        <v>7</v>
      </c>
      <c r="D15" s="4" t="s">
        <v>7</v>
      </c>
      <c r="E15" s="4" t="s">
        <v>7</v>
      </c>
      <c r="F15" s="2" t="s">
        <v>23</v>
      </c>
    </row>
    <row r="16" customFormat="false" ht="16.25" hidden="false" customHeight="false" outlineLevel="0" collapsed="false">
      <c r="A16" s="5" t="s">
        <v>24</v>
      </c>
      <c r="B16" s="6" t="s">
        <v>25</v>
      </c>
      <c r="C16" s="6" t="n">
        <f aca="false">COUNTIF(C2:C15,"〇")</f>
        <v>13</v>
      </c>
      <c r="D16" s="6" t="n">
        <f aca="false">COUNTIF(D2:D15,"〇")</f>
        <v>14</v>
      </c>
      <c r="E16" s="6" t="n">
        <f aca="false">COUNTIF(E2:E15,"〇")</f>
        <v>12</v>
      </c>
      <c r="F16" s="7"/>
    </row>
    <row r="18" customFormat="false" ht="15" hidden="false" customHeight="false" outlineLevel="0" collapsed="false">
      <c r="A18" s="8" t="s">
        <v>26</v>
      </c>
    </row>
    <row r="19" customFormat="false" ht="15" hidden="false" customHeight="false" outlineLevel="0" collapsed="false">
      <c r="A19" s="8" t="s">
        <v>27</v>
      </c>
    </row>
    <row r="20" customFormat="false" ht="15" hidden="false" customHeight="false" outlineLevel="0" collapsed="false">
      <c r="A20" s="8" t="s">
        <v>28</v>
      </c>
    </row>
    <row r="21" customFormat="false" ht="15" hidden="false" customHeight="false" outlineLevel="0" collapsed="false">
      <c r="A21" s="8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1" min="1" style="0" width="16.38"/>
    <col collapsed="false" customWidth="true" hidden="false" outlineLevel="0" max="2" min="2" style="0" width="10.92"/>
    <col collapsed="false" customWidth="true" hidden="false" outlineLevel="0" max="3" min="3" style="0" width="9.1"/>
    <col collapsed="false" customWidth="true" hidden="false" outlineLevel="0" max="16" min="4" style="0" width="5.46"/>
  </cols>
  <sheetData>
    <row r="1" customFormat="false" ht="61.4" hidden="false" customHeight="false" outlineLevel="0" collapsed="false">
      <c r="A1" s="9" t="s">
        <v>30</v>
      </c>
      <c r="B1" s="9" t="s">
        <v>31</v>
      </c>
      <c r="C1" s="9" t="s">
        <v>32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  <c r="I1" s="10" t="s">
        <v>38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43</v>
      </c>
      <c r="O1" s="10" t="s">
        <v>44</v>
      </c>
      <c r="P1" s="10" t="s">
        <v>45</v>
      </c>
    </row>
    <row r="2" customFormat="false" ht="15" hidden="false" customHeight="false" outlineLevel="0" collapsed="false">
      <c r="A2" s="11" t="s">
        <v>46</v>
      </c>
      <c r="B2" s="12"/>
      <c r="C2" s="12" t="n">
        <v>13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</row>
    <row r="3" customFormat="false" ht="15" hidden="false" customHeight="false" outlineLevel="0" collapsed="false">
      <c r="A3" s="13" t="s">
        <v>47</v>
      </c>
      <c r="B3" s="14" t="s">
        <v>30</v>
      </c>
      <c r="C3" s="14" t="n">
        <v>13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</row>
    <row r="4" customFormat="false" ht="15" hidden="false" customHeight="false" outlineLevel="0" collapsed="false">
      <c r="A4" s="13" t="s">
        <v>48</v>
      </c>
      <c r="B4" s="14" t="s">
        <v>30</v>
      </c>
      <c r="C4" s="14" t="n">
        <v>13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</row>
    <row r="5" customFormat="false" ht="15" hidden="false" customHeight="false" outlineLevel="0" collapsed="false">
      <c r="A5" s="13" t="s">
        <v>49</v>
      </c>
      <c r="B5" s="14" t="s">
        <v>30</v>
      </c>
      <c r="C5" s="14" t="n">
        <v>13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</row>
    <row r="6" customFormat="false" ht="15" hidden="false" customHeight="false" outlineLevel="0" collapsed="false">
      <c r="A6" s="13" t="s">
        <v>50</v>
      </c>
      <c r="B6" s="14" t="s">
        <v>30</v>
      </c>
      <c r="C6" s="14" t="n">
        <v>13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</row>
    <row r="7" customFormat="false" ht="15" hidden="false" customHeight="false" outlineLevel="0" collapsed="false">
      <c r="A7" s="13" t="s">
        <v>51</v>
      </c>
      <c r="B7" s="14" t="s">
        <v>30</v>
      </c>
      <c r="C7" s="14" t="n">
        <v>13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</row>
    <row r="8" customFormat="false" ht="15" hidden="false" customHeight="false" outlineLevel="0" collapsed="false">
      <c r="A8" s="13" t="s">
        <v>52</v>
      </c>
      <c r="B8" s="14" t="s">
        <v>30</v>
      </c>
      <c r="C8" s="14" t="n">
        <v>13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</row>
    <row r="9" customFormat="false" ht="15" hidden="false" customHeight="false" outlineLevel="0" collapsed="false">
      <c r="A9" s="13" t="s">
        <v>53</v>
      </c>
      <c r="B9" s="14" t="s">
        <v>30</v>
      </c>
      <c r="C9" s="14" t="n">
        <v>13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</row>
    <row r="10" customFormat="false" ht="15" hidden="false" customHeight="false" outlineLevel="0" collapsed="false">
      <c r="A10" s="13" t="s">
        <v>54</v>
      </c>
      <c r="B10" s="14" t="s">
        <v>30</v>
      </c>
      <c r="C10" s="14" t="n">
        <v>13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</row>
    <row r="11" customFormat="false" ht="15" hidden="false" customHeight="false" outlineLevel="0" collapsed="false">
      <c r="A11" s="13" t="s">
        <v>55</v>
      </c>
      <c r="B11" s="14" t="s">
        <v>30</v>
      </c>
      <c r="C11" s="14" t="n">
        <v>13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</row>
    <row r="12" customFormat="false" ht="15" hidden="false" customHeight="false" outlineLevel="0" collapsed="false">
      <c r="A12" s="13" t="s">
        <v>56</v>
      </c>
      <c r="B12" s="14" t="s">
        <v>30</v>
      </c>
      <c r="C12" s="14" t="n">
        <v>13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</row>
    <row r="13" customFormat="false" ht="15" hidden="false" customHeight="false" outlineLevel="0" collapsed="false">
      <c r="A13" s="13" t="s">
        <v>57</v>
      </c>
      <c r="B13" s="14" t="s">
        <v>30</v>
      </c>
      <c r="C13" s="14" t="n">
        <v>13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</row>
    <row r="14" customFormat="false" ht="15" hidden="false" customHeight="false" outlineLevel="0" collapsed="false">
      <c r="A14" s="13" t="s">
        <v>58</v>
      </c>
      <c r="B14" s="14" t="s">
        <v>30</v>
      </c>
      <c r="C14" s="14" t="n">
        <v>13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</row>
    <row r="15" customFormat="false" ht="15" hidden="false" customHeight="false" outlineLevel="0" collapsed="false">
      <c r="A15" s="13" t="s">
        <v>59</v>
      </c>
      <c r="B15" s="14" t="s">
        <v>30</v>
      </c>
      <c r="C15" s="14" t="n">
        <v>13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</row>
    <row r="16" customFormat="false" ht="15" hidden="false" customHeight="false" outlineLevel="0" collapsed="false">
      <c r="A16" s="13" t="s">
        <v>60</v>
      </c>
      <c r="B16" s="14" t="s">
        <v>30</v>
      </c>
      <c r="C16" s="14" t="n">
        <v>13</v>
      </c>
      <c r="D16" s="14" t="s">
        <v>61</v>
      </c>
      <c r="E16" s="14" t="s">
        <v>61</v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s">
        <v>61</v>
      </c>
      <c r="L16" s="14" t="s">
        <v>61</v>
      </c>
      <c r="M16" s="14" t="s">
        <v>61</v>
      </c>
      <c r="N16" s="14" t="s">
        <v>61</v>
      </c>
      <c r="O16" s="14" t="s">
        <v>61</v>
      </c>
      <c r="P16" s="14" t="s">
        <v>61</v>
      </c>
    </row>
    <row r="17" customFormat="false" ht="15" hidden="false" customHeight="false" outlineLevel="0" collapsed="false">
      <c r="A17" s="13" t="s">
        <v>62</v>
      </c>
      <c r="B17" s="14" t="s">
        <v>30</v>
      </c>
      <c r="C17" s="14" t="n">
        <v>13</v>
      </c>
      <c r="D17" s="14" t="s">
        <v>61</v>
      </c>
      <c r="E17" s="14" t="s">
        <v>61</v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s">
        <v>61</v>
      </c>
      <c r="L17" s="14" t="s">
        <v>61</v>
      </c>
      <c r="M17" s="14" t="s">
        <v>61</v>
      </c>
      <c r="N17" s="14" t="s">
        <v>61</v>
      </c>
      <c r="O17" s="14" t="s">
        <v>61</v>
      </c>
      <c r="P17" s="14" t="s">
        <v>61</v>
      </c>
    </row>
    <row r="18" customFormat="false" ht="15" hidden="false" customHeight="false" outlineLevel="0" collapsed="false">
      <c r="A18" s="13" t="s">
        <v>63</v>
      </c>
      <c r="B18" s="14" t="s">
        <v>30</v>
      </c>
      <c r="C18" s="14" t="n">
        <v>13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</row>
    <row r="19" customFormat="false" ht="15" hidden="false" customHeight="false" outlineLevel="0" collapsed="false">
      <c r="A19" s="13" t="s">
        <v>64</v>
      </c>
      <c r="B19" s="14" t="s">
        <v>30</v>
      </c>
      <c r="C19" s="14" t="n">
        <v>13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</row>
    <row r="20" customFormat="false" ht="15" hidden="false" customHeight="false" outlineLevel="0" collapsed="false">
      <c r="A20" s="13" t="s">
        <v>65</v>
      </c>
      <c r="B20" s="14" t="s">
        <v>30</v>
      </c>
      <c r="C20" s="14" t="n">
        <v>13</v>
      </c>
      <c r="D20" s="14" t="s">
        <v>61</v>
      </c>
      <c r="E20" s="14" t="s">
        <v>61</v>
      </c>
      <c r="F20" s="14" t="s">
        <v>61</v>
      </c>
      <c r="G20" s="14" t="s">
        <v>61</v>
      </c>
      <c r="H20" s="15" t="n">
        <v>42</v>
      </c>
      <c r="I20" s="15" t="n">
        <v>41</v>
      </c>
      <c r="J20" s="15" t="n">
        <v>42</v>
      </c>
      <c r="K20" s="14" t="s">
        <v>61</v>
      </c>
      <c r="L20" s="14" t="s">
        <v>61</v>
      </c>
      <c r="M20" s="14" t="s">
        <v>61</v>
      </c>
      <c r="N20" s="14" t="s">
        <v>61</v>
      </c>
      <c r="O20" s="14" t="s">
        <v>61</v>
      </c>
      <c r="P20" s="14" t="s">
        <v>61</v>
      </c>
    </row>
    <row r="21" customFormat="false" ht="15" hidden="false" customHeight="false" outlineLevel="0" collapsed="false">
      <c r="A21" s="13" t="s">
        <v>66</v>
      </c>
      <c r="B21" s="14" t="s">
        <v>30</v>
      </c>
      <c r="C21" s="14" t="n">
        <v>13</v>
      </c>
      <c r="D21" s="14" t="s">
        <v>61</v>
      </c>
      <c r="E21" s="14" t="s">
        <v>61</v>
      </c>
      <c r="F21" s="14" t="s">
        <v>61</v>
      </c>
      <c r="G21" s="14" t="s">
        <v>61</v>
      </c>
      <c r="H21" s="15" t="n">
        <v>42</v>
      </c>
      <c r="I21" s="15" t="n">
        <v>42</v>
      </c>
      <c r="J21" s="15" t="n">
        <v>42</v>
      </c>
      <c r="K21" s="14" t="s">
        <v>61</v>
      </c>
      <c r="L21" s="14" t="s">
        <v>61</v>
      </c>
      <c r="M21" s="14" t="s">
        <v>61</v>
      </c>
      <c r="N21" s="14" t="s">
        <v>61</v>
      </c>
      <c r="O21" s="14" t="s">
        <v>61</v>
      </c>
      <c r="P21" s="14" t="s">
        <v>61</v>
      </c>
    </row>
    <row r="22" customFormat="false" ht="15" hidden="false" customHeight="false" outlineLevel="0" collapsed="false">
      <c r="A22" s="13" t="s">
        <v>67</v>
      </c>
      <c r="B22" s="14" t="s">
        <v>30</v>
      </c>
      <c r="C22" s="14" t="n">
        <v>3</v>
      </c>
      <c r="D22" s="16" t="s">
        <v>68</v>
      </c>
      <c r="E22" s="16" t="s">
        <v>68</v>
      </c>
      <c r="F22" s="16" t="s">
        <v>68</v>
      </c>
      <c r="G22" s="16" t="s">
        <v>68</v>
      </c>
      <c r="H22" s="16" t="s">
        <v>68</v>
      </c>
      <c r="I22" s="16" t="s">
        <v>68</v>
      </c>
      <c r="J22" s="16" t="s">
        <v>68</v>
      </c>
      <c r="K22" s="16" t="s">
        <v>68</v>
      </c>
      <c r="L22" s="16" t="s">
        <v>68</v>
      </c>
      <c r="M22" s="16" t="s">
        <v>68</v>
      </c>
      <c r="N22" s="15" t="n">
        <v>3</v>
      </c>
      <c r="O22" s="15" t="n">
        <v>3</v>
      </c>
      <c r="P22" s="15" t="n">
        <v>3</v>
      </c>
    </row>
    <row r="23" customFormat="false" ht="15" hidden="false" customHeight="false" outlineLevel="0" collapsed="false">
      <c r="A23" s="13" t="s">
        <v>69</v>
      </c>
      <c r="B23" s="14" t="s">
        <v>30</v>
      </c>
      <c r="C23" s="14" t="n">
        <v>3</v>
      </c>
      <c r="D23" s="16" t="s">
        <v>68</v>
      </c>
      <c r="E23" s="16" t="s">
        <v>68</v>
      </c>
      <c r="F23" s="16" t="s">
        <v>68</v>
      </c>
      <c r="G23" s="16" t="s">
        <v>68</v>
      </c>
      <c r="H23" s="16" t="s">
        <v>68</v>
      </c>
      <c r="I23" s="16" t="s">
        <v>68</v>
      </c>
      <c r="J23" s="16" t="s">
        <v>68</v>
      </c>
      <c r="K23" s="16" t="s">
        <v>68</v>
      </c>
      <c r="L23" s="16" t="s">
        <v>68</v>
      </c>
      <c r="M23" s="16" t="s">
        <v>68</v>
      </c>
      <c r="N23" s="15" t="n">
        <v>3</v>
      </c>
      <c r="O23" s="15" t="n">
        <v>3</v>
      </c>
      <c r="P23" s="15" t="n">
        <v>3</v>
      </c>
    </row>
    <row r="24" customFormat="false" ht="15" hidden="false" customHeight="false" outlineLevel="0" collapsed="false">
      <c r="A24" s="13" t="s">
        <v>70</v>
      </c>
      <c r="B24" s="14" t="s">
        <v>30</v>
      </c>
      <c r="C24" s="14" t="n">
        <v>3</v>
      </c>
      <c r="D24" s="16" t="s">
        <v>68</v>
      </c>
      <c r="E24" s="16" t="s">
        <v>68</v>
      </c>
      <c r="F24" s="16" t="s">
        <v>68</v>
      </c>
      <c r="G24" s="16" t="s">
        <v>68</v>
      </c>
      <c r="H24" s="16" t="s">
        <v>68</v>
      </c>
      <c r="I24" s="16" t="s">
        <v>68</v>
      </c>
      <c r="J24" s="16" t="s">
        <v>68</v>
      </c>
      <c r="K24" s="16" t="s">
        <v>68</v>
      </c>
      <c r="L24" s="16" t="s">
        <v>68</v>
      </c>
      <c r="M24" s="16" t="s">
        <v>68</v>
      </c>
      <c r="N24" s="15" t="n">
        <v>3</v>
      </c>
      <c r="O24" s="15" t="n">
        <v>3</v>
      </c>
      <c r="P24" s="15" t="n">
        <v>3</v>
      </c>
    </row>
    <row r="25" customFormat="false" ht="15" hidden="false" customHeight="false" outlineLevel="0" collapsed="false">
      <c r="A25" s="13" t="s">
        <v>71</v>
      </c>
      <c r="B25" s="14" t="s">
        <v>30</v>
      </c>
      <c r="C25" s="14" t="n">
        <v>3</v>
      </c>
      <c r="D25" s="16" t="s">
        <v>68</v>
      </c>
      <c r="E25" s="16" t="s">
        <v>68</v>
      </c>
      <c r="F25" s="16" t="s">
        <v>68</v>
      </c>
      <c r="G25" s="16" t="s">
        <v>68</v>
      </c>
      <c r="H25" s="16" t="s">
        <v>68</v>
      </c>
      <c r="I25" s="16" t="s">
        <v>68</v>
      </c>
      <c r="J25" s="16" t="s">
        <v>68</v>
      </c>
      <c r="K25" s="16" t="s">
        <v>68</v>
      </c>
      <c r="L25" s="16" t="s">
        <v>68</v>
      </c>
      <c r="M25" s="16" t="s">
        <v>68</v>
      </c>
      <c r="N25" s="15" t="n">
        <v>3</v>
      </c>
      <c r="O25" s="15" t="n">
        <v>3</v>
      </c>
      <c r="P25" s="15" t="n">
        <v>3</v>
      </c>
    </row>
    <row r="26" customFormat="false" ht="15" hidden="false" customHeight="false" outlineLevel="0" collapsed="false">
      <c r="A26" s="13" t="s">
        <v>72</v>
      </c>
      <c r="B26" s="14" t="s">
        <v>30</v>
      </c>
      <c r="C26" s="14" t="n">
        <v>3</v>
      </c>
      <c r="D26" s="16" t="s">
        <v>68</v>
      </c>
      <c r="E26" s="16" t="s">
        <v>68</v>
      </c>
      <c r="F26" s="16" t="s">
        <v>68</v>
      </c>
      <c r="G26" s="16" t="s">
        <v>68</v>
      </c>
      <c r="H26" s="16" t="s">
        <v>68</v>
      </c>
      <c r="I26" s="16" t="s">
        <v>68</v>
      </c>
      <c r="J26" s="16" t="s">
        <v>68</v>
      </c>
      <c r="K26" s="16" t="s">
        <v>68</v>
      </c>
      <c r="L26" s="16" t="s">
        <v>68</v>
      </c>
      <c r="M26" s="16" t="s">
        <v>68</v>
      </c>
      <c r="N26" s="15" t="n">
        <v>3</v>
      </c>
      <c r="O26" s="15" t="n">
        <v>3</v>
      </c>
      <c r="P26" s="15" t="n">
        <v>3</v>
      </c>
    </row>
    <row r="27" customFormat="false" ht="15" hidden="false" customHeight="false" outlineLevel="0" collapsed="false">
      <c r="A27" s="13" t="s">
        <v>73</v>
      </c>
      <c r="B27" s="14" t="s">
        <v>30</v>
      </c>
      <c r="C27" s="14" t="n">
        <v>3</v>
      </c>
      <c r="D27" s="16" t="s">
        <v>68</v>
      </c>
      <c r="E27" s="16" t="s">
        <v>68</v>
      </c>
      <c r="F27" s="16" t="s">
        <v>68</v>
      </c>
      <c r="G27" s="16" t="s">
        <v>68</v>
      </c>
      <c r="H27" s="16" t="s">
        <v>68</v>
      </c>
      <c r="I27" s="16" t="s">
        <v>68</v>
      </c>
      <c r="J27" s="16" t="s">
        <v>68</v>
      </c>
      <c r="K27" s="16" t="s">
        <v>68</v>
      </c>
      <c r="L27" s="16" t="s">
        <v>68</v>
      </c>
      <c r="M27" s="16" t="s">
        <v>68</v>
      </c>
      <c r="N27" s="15" t="n">
        <v>3</v>
      </c>
      <c r="O27" s="15" t="n">
        <v>3</v>
      </c>
      <c r="P27" s="15" t="n">
        <v>3</v>
      </c>
    </row>
    <row r="28" customFormat="false" ht="15" hidden="false" customHeight="false" outlineLevel="0" collapsed="false">
      <c r="A28" s="13" t="s">
        <v>74</v>
      </c>
      <c r="B28" s="14" t="s">
        <v>30</v>
      </c>
      <c r="C28" s="14" t="n">
        <v>3</v>
      </c>
      <c r="D28" s="16" t="s">
        <v>68</v>
      </c>
      <c r="E28" s="16" t="s">
        <v>68</v>
      </c>
      <c r="F28" s="16" t="s">
        <v>68</v>
      </c>
      <c r="G28" s="16" t="s">
        <v>68</v>
      </c>
      <c r="H28" s="16" t="s">
        <v>68</v>
      </c>
      <c r="I28" s="16" t="s">
        <v>68</v>
      </c>
      <c r="J28" s="16" t="s">
        <v>68</v>
      </c>
      <c r="K28" s="16" t="s">
        <v>68</v>
      </c>
      <c r="L28" s="16" t="s">
        <v>68</v>
      </c>
      <c r="M28" s="16" t="s">
        <v>68</v>
      </c>
      <c r="N28" s="15" t="n">
        <v>3</v>
      </c>
      <c r="O28" s="15" t="n">
        <v>3</v>
      </c>
      <c r="P28" s="15" t="n">
        <v>3</v>
      </c>
    </row>
    <row r="29" customFormat="false" ht="15" hidden="false" customHeight="false" outlineLevel="0" collapsed="false">
      <c r="A29" s="13" t="s">
        <v>75</v>
      </c>
      <c r="B29" s="14" t="s">
        <v>30</v>
      </c>
      <c r="C29" s="14" t="n">
        <v>3</v>
      </c>
      <c r="D29" s="16" t="s">
        <v>68</v>
      </c>
      <c r="E29" s="16" t="s">
        <v>68</v>
      </c>
      <c r="F29" s="16" t="s">
        <v>68</v>
      </c>
      <c r="G29" s="16" t="s">
        <v>68</v>
      </c>
      <c r="H29" s="16" t="s">
        <v>68</v>
      </c>
      <c r="I29" s="16" t="s">
        <v>68</v>
      </c>
      <c r="J29" s="16" t="s">
        <v>68</v>
      </c>
      <c r="K29" s="16" t="s">
        <v>68</v>
      </c>
      <c r="L29" s="16" t="s">
        <v>68</v>
      </c>
      <c r="M29" s="16" t="s">
        <v>68</v>
      </c>
      <c r="N29" s="15" t="n">
        <v>3</v>
      </c>
      <c r="O29" s="15" t="n">
        <v>3</v>
      </c>
      <c r="P29" s="15" t="n">
        <v>3</v>
      </c>
    </row>
    <row r="30" customFormat="false" ht="15" hidden="false" customHeight="false" outlineLevel="0" collapsed="false">
      <c r="A30" s="13" t="s">
        <v>76</v>
      </c>
      <c r="B30" s="14" t="s">
        <v>30</v>
      </c>
      <c r="C30" s="14" t="n">
        <v>3</v>
      </c>
      <c r="D30" s="16" t="s">
        <v>68</v>
      </c>
      <c r="E30" s="16" t="s">
        <v>68</v>
      </c>
      <c r="F30" s="16" t="s">
        <v>68</v>
      </c>
      <c r="G30" s="16" t="s">
        <v>68</v>
      </c>
      <c r="H30" s="16" t="s">
        <v>68</v>
      </c>
      <c r="I30" s="16" t="s">
        <v>68</v>
      </c>
      <c r="J30" s="16" t="s">
        <v>68</v>
      </c>
      <c r="K30" s="16" t="s">
        <v>68</v>
      </c>
      <c r="L30" s="16" t="s">
        <v>68</v>
      </c>
      <c r="M30" s="16" t="s">
        <v>68</v>
      </c>
      <c r="N30" s="15" t="n">
        <v>3</v>
      </c>
      <c r="O30" s="15" t="n">
        <v>3</v>
      </c>
      <c r="P30" s="15" t="n">
        <v>3</v>
      </c>
    </row>
    <row r="31" customFormat="false" ht="15" hidden="false" customHeight="false" outlineLevel="0" collapsed="false">
      <c r="A31" s="13" t="s">
        <v>77</v>
      </c>
      <c r="B31" s="14" t="s">
        <v>30</v>
      </c>
      <c r="C31" s="14" t="n">
        <v>3</v>
      </c>
      <c r="D31" s="16" t="s">
        <v>68</v>
      </c>
      <c r="E31" s="16" t="s">
        <v>68</v>
      </c>
      <c r="F31" s="16" t="s">
        <v>68</v>
      </c>
      <c r="G31" s="16" t="s">
        <v>68</v>
      </c>
      <c r="H31" s="16" t="s">
        <v>68</v>
      </c>
      <c r="I31" s="16" t="s">
        <v>68</v>
      </c>
      <c r="J31" s="16" t="s">
        <v>68</v>
      </c>
      <c r="K31" s="16" t="s">
        <v>68</v>
      </c>
      <c r="L31" s="16" t="s">
        <v>68</v>
      </c>
      <c r="M31" s="16" t="s">
        <v>68</v>
      </c>
      <c r="N31" s="15" t="n">
        <v>3</v>
      </c>
      <c r="O31" s="15" t="n">
        <v>3</v>
      </c>
      <c r="P31" s="15" t="n">
        <v>3</v>
      </c>
    </row>
    <row r="32" customFormat="false" ht="15" hidden="false" customHeight="false" outlineLevel="0" collapsed="false">
      <c r="A32" s="13" t="s">
        <v>78</v>
      </c>
      <c r="B32" s="14" t="s">
        <v>30</v>
      </c>
      <c r="C32" s="14" t="n">
        <v>1</v>
      </c>
      <c r="D32" s="16" t="s">
        <v>68</v>
      </c>
      <c r="E32" s="16" t="s">
        <v>68</v>
      </c>
      <c r="F32" s="16" t="s">
        <v>68</v>
      </c>
      <c r="G32" s="16" t="s">
        <v>68</v>
      </c>
      <c r="H32" s="15" t="n">
        <v>1</v>
      </c>
      <c r="I32" s="16" t="s">
        <v>68</v>
      </c>
      <c r="J32" s="16" t="s">
        <v>68</v>
      </c>
      <c r="K32" s="16" t="s">
        <v>68</v>
      </c>
      <c r="L32" s="16" t="s">
        <v>68</v>
      </c>
      <c r="M32" s="16" t="s">
        <v>68</v>
      </c>
      <c r="N32" s="16" t="s">
        <v>68</v>
      </c>
      <c r="O32" s="16" t="s">
        <v>68</v>
      </c>
      <c r="P32" s="16" t="s">
        <v>68</v>
      </c>
    </row>
    <row r="33" customFormat="false" ht="15" hidden="false" customHeight="false" outlineLevel="0" collapsed="false">
      <c r="A33" s="17" t="s">
        <v>79</v>
      </c>
      <c r="B33" s="18" t="s">
        <v>80</v>
      </c>
      <c r="C33" s="14" t="n">
        <v>13</v>
      </c>
      <c r="D33" s="14" t="s">
        <v>61</v>
      </c>
      <c r="E33" s="15" t="n">
        <v>42</v>
      </c>
      <c r="F33" s="14" t="s">
        <v>61</v>
      </c>
      <c r="G33" s="14" t="s">
        <v>61</v>
      </c>
      <c r="H33" s="14" t="s">
        <v>61</v>
      </c>
      <c r="I33" s="14" t="s">
        <v>61</v>
      </c>
      <c r="J33" s="14" t="s">
        <v>61</v>
      </c>
      <c r="K33" s="14" t="s">
        <v>61</v>
      </c>
      <c r="L33" s="14" t="s">
        <v>61</v>
      </c>
      <c r="M33" s="14" t="s">
        <v>61</v>
      </c>
      <c r="N33" s="14" t="s">
        <v>61</v>
      </c>
      <c r="O33" s="14" t="s">
        <v>61</v>
      </c>
      <c r="P33" s="14" t="s">
        <v>61</v>
      </c>
    </row>
    <row r="34" customFormat="false" ht="15" hidden="false" customHeight="false" outlineLevel="0" collapsed="false">
      <c r="A34" s="17" t="s">
        <v>81</v>
      </c>
      <c r="B34" s="18" t="s">
        <v>80</v>
      </c>
      <c r="C34" s="14" t="n">
        <v>13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</row>
    <row r="35" customFormat="false" ht="15" hidden="false" customHeight="false" outlineLevel="0" collapsed="false">
      <c r="A35" s="17" t="s">
        <v>82</v>
      </c>
      <c r="B35" s="18" t="s">
        <v>80</v>
      </c>
      <c r="C35" s="14" t="n">
        <v>13</v>
      </c>
      <c r="D35" s="14" t="s">
        <v>61</v>
      </c>
      <c r="E35" s="15" t="n">
        <v>42</v>
      </c>
      <c r="F35" s="14" t="s">
        <v>61</v>
      </c>
      <c r="G35" s="14" t="s">
        <v>61</v>
      </c>
      <c r="H35" s="14" t="s">
        <v>61</v>
      </c>
      <c r="I35" s="14" t="s">
        <v>61</v>
      </c>
      <c r="J35" s="14" t="s">
        <v>61</v>
      </c>
      <c r="K35" s="14" t="s">
        <v>61</v>
      </c>
      <c r="L35" s="14" t="s">
        <v>61</v>
      </c>
      <c r="M35" s="14" t="s">
        <v>61</v>
      </c>
      <c r="N35" s="14" t="s">
        <v>61</v>
      </c>
      <c r="O35" s="14" t="s">
        <v>61</v>
      </c>
      <c r="P35" s="14" t="s">
        <v>61</v>
      </c>
    </row>
    <row r="36" customFormat="false" ht="15" hidden="false" customHeight="false" outlineLevel="0" collapsed="false">
      <c r="A36" s="17" t="s">
        <v>83</v>
      </c>
      <c r="B36" s="18" t="s">
        <v>80</v>
      </c>
      <c r="C36" s="14" t="n">
        <v>13</v>
      </c>
      <c r="D36" s="14" t="s">
        <v>61</v>
      </c>
      <c r="E36" s="15" t="n">
        <v>42</v>
      </c>
      <c r="F36" s="14" t="s">
        <v>61</v>
      </c>
      <c r="G36" s="14" t="s">
        <v>61</v>
      </c>
      <c r="H36" s="14" t="s">
        <v>61</v>
      </c>
      <c r="I36" s="14" t="s">
        <v>61</v>
      </c>
      <c r="J36" s="14" t="s">
        <v>61</v>
      </c>
      <c r="K36" s="14" t="s">
        <v>61</v>
      </c>
      <c r="L36" s="14" t="s">
        <v>61</v>
      </c>
      <c r="M36" s="14" t="s">
        <v>61</v>
      </c>
      <c r="N36" s="14" t="s">
        <v>61</v>
      </c>
      <c r="O36" s="14" t="s">
        <v>61</v>
      </c>
      <c r="P36" s="14" t="s">
        <v>61</v>
      </c>
    </row>
    <row r="37" customFormat="false" ht="15" hidden="false" customHeight="false" outlineLevel="0" collapsed="false">
      <c r="A37" s="17" t="s">
        <v>84</v>
      </c>
      <c r="B37" s="18" t="s">
        <v>80</v>
      </c>
      <c r="C37" s="14" t="n">
        <v>1</v>
      </c>
      <c r="D37" s="16" t="s">
        <v>68</v>
      </c>
      <c r="E37" s="15" t="n">
        <v>1</v>
      </c>
      <c r="F37" s="16" t="s">
        <v>68</v>
      </c>
      <c r="G37" s="16" t="s">
        <v>68</v>
      </c>
      <c r="H37" s="16" t="s">
        <v>68</v>
      </c>
      <c r="I37" s="16" t="s">
        <v>68</v>
      </c>
      <c r="J37" s="16" t="s">
        <v>68</v>
      </c>
      <c r="K37" s="16" t="s">
        <v>68</v>
      </c>
      <c r="L37" s="16" t="s">
        <v>68</v>
      </c>
      <c r="M37" s="16" t="s">
        <v>68</v>
      </c>
      <c r="N37" s="16" t="s">
        <v>68</v>
      </c>
      <c r="O37" s="16" t="s">
        <v>68</v>
      </c>
      <c r="P37" s="16" t="s">
        <v>68</v>
      </c>
    </row>
    <row r="38" customFormat="false" ht="15" hidden="false" customHeight="false" outlineLevel="0" collapsed="false">
      <c r="A38" s="17" t="s">
        <v>85</v>
      </c>
      <c r="B38" s="18" t="s">
        <v>80</v>
      </c>
      <c r="C38" s="14" t="n">
        <v>1</v>
      </c>
      <c r="D38" s="16" t="s">
        <v>68</v>
      </c>
      <c r="E38" s="15" t="n">
        <v>1</v>
      </c>
      <c r="F38" s="16" t="s">
        <v>68</v>
      </c>
      <c r="G38" s="16" t="s">
        <v>68</v>
      </c>
      <c r="H38" s="16" t="s">
        <v>68</v>
      </c>
      <c r="I38" s="16" t="s">
        <v>68</v>
      </c>
      <c r="J38" s="16" t="s">
        <v>68</v>
      </c>
      <c r="K38" s="16" t="s">
        <v>68</v>
      </c>
      <c r="L38" s="16" t="s">
        <v>68</v>
      </c>
      <c r="M38" s="16" t="s">
        <v>68</v>
      </c>
      <c r="N38" s="16" t="s">
        <v>68</v>
      </c>
      <c r="O38" s="16" t="s">
        <v>68</v>
      </c>
      <c r="P38" s="16" t="s">
        <v>68</v>
      </c>
    </row>
    <row r="39" customFormat="false" ht="15" hidden="false" customHeight="false" outlineLevel="0" collapsed="false">
      <c r="A39" s="17" t="s">
        <v>86</v>
      </c>
      <c r="B39" s="18" t="s">
        <v>80</v>
      </c>
      <c r="C39" s="14" t="n">
        <v>1</v>
      </c>
      <c r="D39" s="16" t="s">
        <v>68</v>
      </c>
      <c r="E39" s="15" t="n">
        <v>1</v>
      </c>
      <c r="F39" s="16" t="s">
        <v>68</v>
      </c>
      <c r="G39" s="16" t="s">
        <v>68</v>
      </c>
      <c r="H39" s="16" t="s">
        <v>68</v>
      </c>
      <c r="I39" s="16" t="s">
        <v>68</v>
      </c>
      <c r="J39" s="16" t="s">
        <v>68</v>
      </c>
      <c r="K39" s="16" t="s">
        <v>68</v>
      </c>
      <c r="L39" s="16" t="s">
        <v>68</v>
      </c>
      <c r="M39" s="16" t="s">
        <v>68</v>
      </c>
      <c r="N39" s="16" t="s">
        <v>68</v>
      </c>
      <c r="O39" s="16" t="s">
        <v>68</v>
      </c>
      <c r="P39" s="16" t="s">
        <v>68</v>
      </c>
    </row>
    <row r="40" customFormat="false" ht="15" hidden="false" customHeight="false" outlineLevel="0" collapsed="false">
      <c r="A40" s="17" t="s">
        <v>87</v>
      </c>
      <c r="B40" s="18" t="s">
        <v>80</v>
      </c>
      <c r="C40" s="14" t="n">
        <v>1</v>
      </c>
      <c r="D40" s="16" t="s">
        <v>68</v>
      </c>
      <c r="E40" s="15" t="n">
        <v>1</v>
      </c>
      <c r="F40" s="16" t="s">
        <v>68</v>
      </c>
      <c r="G40" s="16" t="s">
        <v>68</v>
      </c>
      <c r="H40" s="16" t="s">
        <v>68</v>
      </c>
      <c r="I40" s="16" t="s">
        <v>68</v>
      </c>
      <c r="J40" s="16" t="s">
        <v>68</v>
      </c>
      <c r="K40" s="16" t="s">
        <v>68</v>
      </c>
      <c r="L40" s="16" t="s">
        <v>68</v>
      </c>
      <c r="M40" s="16" t="s">
        <v>68</v>
      </c>
      <c r="N40" s="16" t="s">
        <v>68</v>
      </c>
      <c r="O40" s="16" t="s">
        <v>68</v>
      </c>
      <c r="P40" s="16" t="s">
        <v>68</v>
      </c>
    </row>
    <row r="42" customFormat="false" ht="15" hidden="false" customHeight="false" outlineLevel="0" collapsed="false">
      <c r="A42" s="19" t="s">
        <v>88</v>
      </c>
    </row>
    <row r="43" customFormat="false" ht="15" hidden="false" customHeight="false" outlineLevel="0" collapsed="false">
      <c r="A43" s="19" t="s">
        <v>89</v>
      </c>
    </row>
    <row r="44" customFormat="false" ht="15" hidden="false" customHeight="false" outlineLevel="0" collapsed="false">
      <c r="A44" s="19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47.31"/>
    <col collapsed="false" customWidth="true" hidden="false" outlineLevel="0" max="15" min="3" style="0" width="5.46"/>
  </cols>
  <sheetData>
    <row r="1" customFormat="false" ht="61.4" hidden="false" customHeight="false" outlineLevel="0" collapsed="false">
      <c r="A1" s="9" t="s">
        <v>91</v>
      </c>
      <c r="B1" s="9" t="s">
        <v>92</v>
      </c>
      <c r="C1" s="10" t="s">
        <v>33</v>
      </c>
      <c r="D1" s="10" t="s">
        <v>34</v>
      </c>
      <c r="E1" s="10" t="s">
        <v>35</v>
      </c>
      <c r="F1" s="10" t="s">
        <v>36</v>
      </c>
      <c r="G1" s="10" t="s">
        <v>37</v>
      </c>
      <c r="H1" s="10" t="s">
        <v>38</v>
      </c>
      <c r="I1" s="10" t="s">
        <v>39</v>
      </c>
      <c r="J1" s="10" t="s">
        <v>40</v>
      </c>
      <c r="K1" s="10" t="s">
        <v>41</v>
      </c>
      <c r="L1" s="10" t="s">
        <v>42</v>
      </c>
      <c r="M1" s="10" t="s">
        <v>43</v>
      </c>
      <c r="N1" s="10" t="s">
        <v>44</v>
      </c>
      <c r="O1" s="10" t="s">
        <v>45</v>
      </c>
    </row>
    <row r="2" customFormat="false" ht="28.9" hidden="false" customHeight="false" outlineLevel="0" collapsed="false">
      <c r="A2" s="11" t="s">
        <v>93</v>
      </c>
      <c r="B2" s="20" t="s">
        <v>94</v>
      </c>
      <c r="C2" s="16" t="s">
        <v>68</v>
      </c>
      <c r="D2" s="16" t="s">
        <v>68</v>
      </c>
      <c r="E2" s="16" t="s">
        <v>68</v>
      </c>
      <c r="F2" s="16" t="s">
        <v>68</v>
      </c>
      <c r="G2" s="16" t="s">
        <v>68</v>
      </c>
      <c r="H2" s="16" t="s">
        <v>68</v>
      </c>
      <c r="I2" s="16" t="s">
        <v>68</v>
      </c>
      <c r="J2" s="16" t="s">
        <v>68</v>
      </c>
      <c r="K2" s="16" t="s">
        <v>68</v>
      </c>
      <c r="L2" s="16" t="s">
        <v>68</v>
      </c>
      <c r="M2" s="14" t="n">
        <v>3</v>
      </c>
      <c r="N2" s="14" t="n">
        <v>3</v>
      </c>
      <c r="O2" s="14" t="n">
        <v>3</v>
      </c>
    </row>
    <row r="3" customFormat="false" ht="15" hidden="false" customHeight="false" outlineLevel="0" collapsed="false">
      <c r="A3" s="11" t="s">
        <v>95</v>
      </c>
      <c r="B3" s="20" t="s">
        <v>96</v>
      </c>
      <c r="C3" s="14" t="n">
        <v>4</v>
      </c>
      <c r="D3" s="14" t="n">
        <v>5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</row>
    <row r="4" customFormat="false" ht="15" hidden="false" customHeight="false" outlineLevel="0" collapsed="false">
      <c r="A4" s="11" t="s">
        <v>97</v>
      </c>
      <c r="B4" s="20" t="s">
        <v>98</v>
      </c>
      <c r="C4" s="14" t="n">
        <v>6</v>
      </c>
      <c r="D4" s="14" t="n">
        <v>6</v>
      </c>
      <c r="E4" s="14" t="n">
        <v>5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7</v>
      </c>
      <c r="K4" s="14" t="n">
        <v>7</v>
      </c>
      <c r="L4" s="14" t="n">
        <v>7</v>
      </c>
      <c r="M4" s="14" t="n">
        <v>8</v>
      </c>
      <c r="N4" s="14" t="n">
        <v>8</v>
      </c>
      <c r="O4" s="14" t="n">
        <v>8</v>
      </c>
    </row>
    <row r="5" customFormat="false" ht="28.9" hidden="false" customHeight="false" outlineLevel="0" collapsed="false">
      <c r="A5" s="11" t="s">
        <v>99</v>
      </c>
      <c r="B5" s="20" t="s">
        <v>100</v>
      </c>
      <c r="C5" s="16" t="s">
        <v>68</v>
      </c>
      <c r="D5" s="16" t="s">
        <v>68</v>
      </c>
      <c r="E5" s="16" t="s">
        <v>68</v>
      </c>
      <c r="F5" s="16" t="s">
        <v>68</v>
      </c>
      <c r="G5" s="14" t="n">
        <v>13</v>
      </c>
      <c r="H5" s="14" t="n">
        <v>13</v>
      </c>
      <c r="I5" s="14" t="n">
        <v>13</v>
      </c>
      <c r="J5" s="16" t="s">
        <v>68</v>
      </c>
      <c r="K5" s="16" t="s">
        <v>68</v>
      </c>
      <c r="L5" s="16" t="s">
        <v>68</v>
      </c>
      <c r="M5" s="16" t="s">
        <v>68</v>
      </c>
      <c r="N5" s="16" t="s">
        <v>68</v>
      </c>
      <c r="O5" s="16" t="s">
        <v>68</v>
      </c>
    </row>
    <row r="6" customFormat="false" ht="28.9" hidden="false" customHeight="false" outlineLevel="0" collapsed="false">
      <c r="A6" s="11" t="s">
        <v>101</v>
      </c>
      <c r="B6" s="20" t="s">
        <v>102</v>
      </c>
      <c r="C6" s="14" t="n">
        <v>19</v>
      </c>
      <c r="D6" s="14" t="n">
        <v>32</v>
      </c>
      <c r="E6" s="14" t="n">
        <v>33</v>
      </c>
      <c r="F6" s="14" t="n">
        <v>33</v>
      </c>
      <c r="G6" s="14" t="n">
        <v>32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29</v>
      </c>
      <c r="N6" s="14" t="n">
        <v>29</v>
      </c>
      <c r="O6" s="14" t="n">
        <v>29</v>
      </c>
    </row>
    <row r="7" customFormat="false" ht="15" hidden="false" customHeight="false" outlineLevel="0" collapsed="false">
      <c r="A7" s="11" t="s">
        <v>103</v>
      </c>
      <c r="B7" s="7"/>
      <c r="C7" s="12" t="n">
        <f aca="false">SUM(C2:C6)</f>
        <v>29</v>
      </c>
      <c r="D7" s="12" t="n">
        <f aca="false">SUM(D2:D6)</f>
        <v>43</v>
      </c>
      <c r="E7" s="12" t="n">
        <f aca="false">SUM(E2:E6)</f>
        <v>43</v>
      </c>
      <c r="F7" s="12" t="n">
        <f aca="false">SUM(F2:F6)</f>
        <v>43</v>
      </c>
      <c r="G7" s="12" t="n">
        <f aca="false">SUM(G2:G6)</f>
        <v>55</v>
      </c>
      <c r="H7" s="12" t="n">
        <f aca="false">SUM(H2:H6)</f>
        <v>55</v>
      </c>
      <c r="I7" s="12" t="n">
        <f aca="false">SUM(I2:I6)</f>
        <v>55</v>
      </c>
      <c r="J7" s="12" t="n">
        <f aca="false">SUM(J2:J6)</f>
        <v>44</v>
      </c>
      <c r="K7" s="12" t="n">
        <f aca="false">SUM(K2:K6)</f>
        <v>44</v>
      </c>
      <c r="L7" s="12" t="n">
        <f aca="false">SUM(L2:L6)</f>
        <v>44</v>
      </c>
      <c r="M7" s="12" t="n">
        <f aca="false">SUM(M2:M6)</f>
        <v>45</v>
      </c>
      <c r="N7" s="12" t="n">
        <f aca="false">SUM(N2:N6)</f>
        <v>45</v>
      </c>
      <c r="O7" s="12" t="n">
        <f aca="false">SUM(O2:O6)</f>
        <v>45</v>
      </c>
    </row>
    <row r="8" customFormat="false" ht="15" hidden="false" customHeight="false" outlineLevel="0" collapsed="false">
      <c r="A8" s="11" t="s">
        <v>104</v>
      </c>
      <c r="B8" s="7"/>
      <c r="C8" s="14" t="s">
        <v>105</v>
      </c>
      <c r="D8" s="14" t="s">
        <v>106</v>
      </c>
      <c r="E8" s="14" t="s">
        <v>105</v>
      </c>
      <c r="F8" s="14" t="s">
        <v>105</v>
      </c>
      <c r="G8" s="14" t="s">
        <v>105</v>
      </c>
      <c r="H8" s="14" t="s">
        <v>105</v>
      </c>
      <c r="I8" s="14" t="s">
        <v>105</v>
      </c>
      <c r="J8" s="14" t="s">
        <v>105</v>
      </c>
      <c r="K8" s="14" t="s">
        <v>105</v>
      </c>
      <c r="L8" s="14" t="s">
        <v>105</v>
      </c>
      <c r="M8" s="14" t="s">
        <v>105</v>
      </c>
      <c r="N8" s="14" t="s">
        <v>105</v>
      </c>
      <c r="O8" s="14" t="s">
        <v>105</v>
      </c>
    </row>
    <row r="10" customFormat="false" ht="15" hidden="false" customHeight="false" outlineLevel="0" collapsed="false">
      <c r="A10" s="19" t="s">
        <v>107</v>
      </c>
    </row>
    <row r="11" customFormat="false" ht="15" hidden="false" customHeight="false" outlineLevel="0" collapsed="false">
      <c r="A11" s="19" t="s">
        <v>108</v>
      </c>
    </row>
    <row r="12" customFormat="false" ht="15" hidden="false" customHeight="false" outlineLevel="0" collapsed="false">
      <c r="A12" s="19" t="s">
        <v>109</v>
      </c>
    </row>
    <row r="13" customFormat="false" ht="15" hidden="false" customHeight="false" outlineLevel="0" collapsed="false">
      <c r="A13" s="19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2026-08-11T12:29:59Z</dcterms:created>
  <dc:creator>openpyxl</dc:creator>
  <dc:description/>
  <dc:language>ja-JP</dc:language>
  <cp:lastModifiedBy/>
  <dcterms:modified xsi:type="dcterms:W3CDTF">2026-08-11T12:29:59Z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